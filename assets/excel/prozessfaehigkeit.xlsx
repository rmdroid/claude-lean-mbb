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zessfähigke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E75B6"/>
      <sz val="16"/>
    </font>
    <font>
      <b val="1"/>
      <color rgb="002E75B6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0" customWidth="1" min="4" max="4"/>
    <col width="15" customWidth="1" min="5" max="5"/>
  </cols>
  <sheetData>
    <row r="1">
      <c r="A1" s="1" t="inlineStr">
        <is>
          <t>PROZESSFÄHIGKEITSANALYSE</t>
        </is>
      </c>
    </row>
    <row r="3">
      <c r="A3" s="2" t="inlineStr">
        <is>
          <t>SPEZIFIKATIONEN</t>
        </is>
      </c>
      <c r="D3" s="2" t="inlineStr">
        <is>
          <t>BERECHNETE KENNZAHLEN</t>
        </is>
      </c>
    </row>
    <row r="4">
      <c r="A4" s="3" t="inlineStr">
        <is>
          <t>Upper Spec Limit (USL):</t>
        </is>
      </c>
      <c r="B4" s="4" t="n"/>
      <c r="D4" s="3" t="inlineStr">
        <is>
          <t>n:</t>
        </is>
      </c>
      <c r="E4" s="5">
        <f>COUNT(B10:B59)</f>
        <v/>
      </c>
    </row>
    <row r="5">
      <c r="A5" s="3" t="inlineStr">
        <is>
          <t>Lower Spec Limit (LSL):</t>
        </is>
      </c>
      <c r="B5" s="4" t="n"/>
      <c r="D5" s="3" t="inlineStr">
        <is>
          <t>Mittelwert:</t>
        </is>
      </c>
      <c r="E5" s="5">
        <f>AVERAGE(B10:B59)</f>
        <v/>
      </c>
    </row>
    <row r="6">
      <c r="A6" s="3" t="inlineStr">
        <is>
          <t>Zielwert:</t>
        </is>
      </c>
      <c r="B6" s="4" t="n"/>
      <c r="D6" s="3" t="inlineStr">
        <is>
          <t>Std.Abw. (s):</t>
        </is>
      </c>
      <c r="E6" s="5">
        <f>STDEV.S(B10:B59)</f>
        <v/>
      </c>
    </row>
    <row r="7">
      <c r="D7" s="3" t="inlineStr">
        <is>
          <t>Minimum:</t>
        </is>
      </c>
      <c r="E7" s="5">
        <f>MIN(B10:B59)</f>
        <v/>
      </c>
    </row>
    <row r="8">
      <c r="A8" s="2" t="inlineStr">
        <is>
          <t>MESSDATEN</t>
        </is>
      </c>
      <c r="D8" s="3" t="inlineStr">
        <is>
          <t>Maximum:</t>
        </is>
      </c>
      <c r="E8" s="5">
        <f>MAX(B10:B59)</f>
        <v/>
      </c>
    </row>
    <row r="9">
      <c r="A9" s="6" t="inlineStr">
        <is>
          <t>Nr.</t>
        </is>
      </c>
      <c r="B9" s="6" t="inlineStr">
        <is>
          <t>Messwert</t>
        </is>
      </c>
    </row>
    <row r="10">
      <c r="A10" s="5" t="n">
        <v>1</v>
      </c>
      <c r="B10" s="4" t="n"/>
      <c r="D10" s="3" t="inlineStr">
        <is>
          <t>Cp:</t>
        </is>
      </c>
      <c r="E10" s="5">
        <f>IF(E6&gt;0,(B4-B5)/(6*E6),"")</f>
        <v/>
      </c>
    </row>
    <row r="11">
      <c r="A11" s="5" t="n">
        <v>2</v>
      </c>
      <c r="B11" s="4" t="n"/>
      <c r="D11" s="3" t="inlineStr">
        <is>
          <t>Cpu:</t>
        </is>
      </c>
      <c r="E11" s="5">
        <f>IF(E6&gt;0,(B4-E5)/(3*E6),"")</f>
        <v/>
      </c>
    </row>
    <row r="12">
      <c r="A12" s="5" t="n">
        <v>3</v>
      </c>
      <c r="B12" s="4" t="n"/>
      <c r="D12" s="3" t="inlineStr">
        <is>
          <t>Cpl:</t>
        </is>
      </c>
      <c r="E12" s="5">
        <f>IF(E6&gt;0,(E5-B5)/(3*E6),"")</f>
        <v/>
      </c>
    </row>
    <row r="13">
      <c r="A13" s="5" t="n">
        <v>4</v>
      </c>
      <c r="B13" s="4" t="n"/>
      <c r="D13" s="3" t="inlineStr">
        <is>
          <t>Cpk:</t>
        </is>
      </c>
      <c r="E13" s="5">
        <f>IF(E6&gt;0,MIN(E11,E12),"")</f>
        <v/>
      </c>
    </row>
    <row r="14">
      <c r="A14" s="5" t="n">
        <v>5</v>
      </c>
      <c r="B14" s="4" t="n"/>
    </row>
    <row r="15">
      <c r="A15" s="5" t="n">
        <v>6</v>
      </c>
      <c r="B15" s="4" t="n"/>
      <c r="D15" s="2" t="inlineStr">
        <is>
          <t>INTERPRETATION</t>
        </is>
      </c>
    </row>
    <row r="16">
      <c r="A16" s="5" t="n">
        <v>7</v>
      </c>
      <c r="B16" s="4" t="n"/>
      <c r="D16" t="inlineStr">
        <is>
          <t>Cpk ≥ 1,67: Exzellent (≥5σ)</t>
        </is>
      </c>
    </row>
    <row r="17">
      <c r="A17" s="5" t="n">
        <v>8</v>
      </c>
      <c r="B17" s="4" t="n"/>
      <c r="D17" t="inlineStr">
        <is>
          <t>Cpk ≥ 1,33: Gut (≥4σ)</t>
        </is>
      </c>
    </row>
    <row r="18">
      <c r="A18" s="5" t="n">
        <v>9</v>
      </c>
      <c r="B18" s="4" t="n"/>
      <c r="D18" t="inlineStr">
        <is>
          <t>Cpk ≥ 1,00: Akzeptabel (≥3σ)</t>
        </is>
      </c>
    </row>
    <row r="19">
      <c r="A19" s="5" t="n">
        <v>10</v>
      </c>
      <c r="B19" s="4" t="n"/>
      <c r="D19" t="inlineStr">
        <is>
          <t>Cpk &lt; 1,00: Nicht fähig</t>
        </is>
      </c>
    </row>
    <row r="20">
      <c r="A20" s="5" t="n">
        <v>11</v>
      </c>
      <c r="B20" s="4" t="n"/>
    </row>
    <row r="21">
      <c r="A21" s="5" t="n">
        <v>12</v>
      </c>
      <c r="B21" s="4" t="n"/>
    </row>
    <row r="22">
      <c r="A22" s="5" t="n">
        <v>13</v>
      </c>
      <c r="B22" s="4" t="n"/>
    </row>
    <row r="23">
      <c r="A23" s="5" t="n">
        <v>14</v>
      </c>
      <c r="B23" s="4" t="n"/>
    </row>
    <row r="24">
      <c r="A24" s="5" t="n">
        <v>15</v>
      </c>
      <c r="B24" s="4" t="n"/>
    </row>
    <row r="25">
      <c r="A25" s="5" t="n">
        <v>16</v>
      </c>
      <c r="B25" s="4" t="n"/>
    </row>
    <row r="26">
      <c r="A26" s="5" t="n">
        <v>17</v>
      </c>
      <c r="B26" s="4" t="n"/>
    </row>
    <row r="27">
      <c r="A27" s="5" t="n">
        <v>18</v>
      </c>
      <c r="B27" s="4" t="n"/>
    </row>
    <row r="28">
      <c r="A28" s="5" t="n">
        <v>19</v>
      </c>
      <c r="B28" s="4" t="n"/>
    </row>
    <row r="29">
      <c r="A29" s="5" t="n">
        <v>20</v>
      </c>
      <c r="B29" s="4" t="n"/>
    </row>
    <row r="30">
      <c r="A30" s="5" t="n">
        <v>21</v>
      </c>
      <c r="B30" s="4" t="n"/>
    </row>
    <row r="31">
      <c r="A31" s="5" t="n">
        <v>22</v>
      </c>
      <c r="B31" s="4" t="n"/>
    </row>
    <row r="32">
      <c r="A32" s="5" t="n">
        <v>23</v>
      </c>
      <c r="B32" s="4" t="n"/>
    </row>
    <row r="33">
      <c r="A33" s="5" t="n">
        <v>24</v>
      </c>
      <c r="B33" s="4" t="n"/>
    </row>
    <row r="34">
      <c r="A34" s="5" t="n">
        <v>25</v>
      </c>
      <c r="B34" s="4" t="n"/>
    </row>
    <row r="35">
      <c r="A35" s="5" t="n">
        <v>26</v>
      </c>
      <c r="B35" s="4" t="n"/>
    </row>
    <row r="36">
      <c r="A36" s="5" t="n">
        <v>27</v>
      </c>
      <c r="B36" s="4" t="n"/>
    </row>
    <row r="37">
      <c r="A37" s="5" t="n">
        <v>28</v>
      </c>
      <c r="B37" s="4" t="n"/>
    </row>
    <row r="38">
      <c r="A38" s="5" t="n">
        <v>29</v>
      </c>
      <c r="B38" s="4" t="n"/>
    </row>
    <row r="39">
      <c r="A39" s="5" t="n">
        <v>30</v>
      </c>
      <c r="B39" s="4" t="n"/>
    </row>
    <row r="40">
      <c r="A40" s="5" t="n">
        <v>31</v>
      </c>
      <c r="B40" s="4" t="n"/>
    </row>
    <row r="41">
      <c r="A41" s="5" t="n">
        <v>32</v>
      </c>
      <c r="B41" s="4" t="n"/>
    </row>
    <row r="42">
      <c r="A42" s="5" t="n">
        <v>33</v>
      </c>
      <c r="B42" s="4" t="n"/>
    </row>
    <row r="43">
      <c r="A43" s="5" t="n">
        <v>34</v>
      </c>
      <c r="B43" s="4" t="n"/>
    </row>
    <row r="44">
      <c r="A44" s="5" t="n">
        <v>35</v>
      </c>
      <c r="B44" s="4" t="n"/>
    </row>
    <row r="45">
      <c r="A45" s="5" t="n">
        <v>36</v>
      </c>
      <c r="B45" s="4" t="n"/>
    </row>
    <row r="46">
      <c r="A46" s="5" t="n">
        <v>37</v>
      </c>
      <c r="B46" s="4" t="n"/>
    </row>
    <row r="47">
      <c r="A47" s="5" t="n">
        <v>38</v>
      </c>
      <c r="B47" s="4" t="n"/>
    </row>
    <row r="48">
      <c r="A48" s="5" t="n">
        <v>39</v>
      </c>
      <c r="B48" s="4" t="n"/>
    </row>
    <row r="49">
      <c r="A49" s="5" t="n">
        <v>40</v>
      </c>
      <c r="B49" s="4" t="n"/>
    </row>
    <row r="50">
      <c r="A50" s="5" t="n">
        <v>41</v>
      </c>
      <c r="B50" s="4" t="n"/>
    </row>
    <row r="51">
      <c r="A51" s="5" t="n">
        <v>42</v>
      </c>
      <c r="B51" s="4" t="n"/>
    </row>
    <row r="52">
      <c r="A52" s="5" t="n">
        <v>43</v>
      </c>
      <c r="B52" s="4" t="n"/>
    </row>
    <row r="53">
      <c r="A53" s="5" t="n">
        <v>44</v>
      </c>
      <c r="B53" s="4" t="n"/>
    </row>
    <row r="54">
      <c r="A54" s="5" t="n">
        <v>45</v>
      </c>
      <c r="B54" s="4" t="n"/>
    </row>
    <row r="55">
      <c r="A55" s="5" t="n">
        <v>46</v>
      </c>
      <c r="B55" s="4" t="n"/>
    </row>
    <row r="56">
      <c r="A56" s="5" t="n">
        <v>47</v>
      </c>
      <c r="B56" s="4" t="n"/>
    </row>
    <row r="57">
      <c r="A57" s="5" t="n">
        <v>48</v>
      </c>
      <c r="B57" s="4" t="n"/>
    </row>
    <row r="58">
      <c r="A58" s="5" t="n">
        <v>49</v>
      </c>
      <c r="B58" s="4" t="n"/>
    </row>
    <row r="59">
      <c r="A59" s="5" t="n">
        <v>50</v>
      </c>
      <c r="B59" s="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2025-12-27T13:22:37Z</dcterms:created>
  <dcterms:modified xmlns:dcterms="http://purl.org/dc/terms/" xmlns:xsi="http://www.w3.org/2001/XMLSchema-instance" xsi:type="dcterms:W3CDTF">2025-12-27T13:22:37Z</dcterms:modified>
</cp:coreProperties>
</file>